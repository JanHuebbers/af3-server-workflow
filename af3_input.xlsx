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jan\projects\github\af3-server-workflow\"/>
    </mc:Choice>
  </mc:AlternateContent>
  <xr:revisionPtr revIDLastSave="0" documentId="13_ncr:1_{EC5F03C7-79A3-4A06-BDDD-3C9F9EF46CBB}" xr6:coauthVersionLast="47" xr6:coauthVersionMax="47" xr10:uidLastSave="{00000000-0000-0000-0000-000000000000}"/>
  <bookViews>
    <workbookView xWindow="-120" yWindow="-120" windowWidth="29040" windowHeight="15720" xr2:uid="{DF82DD98-647C-46FD-B2CB-3DA0B17EFD46}"/>
  </bookViews>
  <sheets>
    <sheet name="0001_20260101_0Ca1AtM21CAM2" sheetId="137" r:id="rId1"/>
    <sheet name="0001_20260101_0Ca1AtM2LWRR1CAM2" sheetId="138" r:id="rId2"/>
    <sheet name="0001_20260101_4Ca1AtM21CAM2" sheetId="139" r:id="rId3"/>
    <sheet name="0001_20260101_4Ca1AtM2LWRR1CAM2" sheetId="14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40" l="1"/>
  <c r="K4" i="140"/>
  <c r="K5" i="140"/>
  <c r="K6" i="140"/>
  <c r="K7" i="140"/>
  <c r="K8" i="140"/>
  <c r="K9" i="140"/>
  <c r="K10" i="140"/>
  <c r="K11" i="140"/>
  <c r="K12" i="140"/>
  <c r="K13" i="140"/>
  <c r="H3" i="140"/>
  <c r="H4" i="140"/>
  <c r="H5" i="140"/>
  <c r="H6" i="140"/>
  <c r="H7" i="140"/>
  <c r="H8" i="140"/>
  <c r="H9" i="140"/>
  <c r="H10" i="140"/>
  <c r="H11" i="140"/>
  <c r="H12" i="140"/>
  <c r="H13" i="140"/>
  <c r="K2" i="140"/>
  <c r="H2" i="140"/>
  <c r="K3" i="139"/>
  <c r="K4" i="139"/>
  <c r="K5" i="139"/>
  <c r="K6" i="139"/>
  <c r="K7" i="139"/>
  <c r="K8" i="139"/>
  <c r="K9" i="139"/>
  <c r="K10" i="139"/>
  <c r="K11" i="139"/>
  <c r="K12" i="139"/>
  <c r="K13" i="139"/>
  <c r="H3" i="139"/>
  <c r="H4" i="139"/>
  <c r="H5" i="139"/>
  <c r="H6" i="139"/>
  <c r="H7" i="139"/>
  <c r="H8" i="139"/>
  <c r="H9" i="139"/>
  <c r="H10" i="139"/>
  <c r="H11" i="139"/>
  <c r="H12" i="139"/>
  <c r="H13" i="139"/>
  <c r="K2" i="139"/>
  <c r="H2" i="139"/>
  <c r="K3" i="138"/>
  <c r="K4" i="138"/>
  <c r="K5" i="138"/>
  <c r="K6" i="138"/>
  <c r="K7" i="138"/>
  <c r="K8" i="138"/>
  <c r="K9" i="138"/>
  <c r="K10" i="138"/>
  <c r="K11" i="138"/>
  <c r="K12" i="138"/>
  <c r="K13" i="138"/>
  <c r="K2" i="138"/>
  <c r="H3" i="138"/>
  <c r="H4" i="138"/>
  <c r="H5" i="138"/>
  <c r="H6" i="138"/>
  <c r="H7" i="138"/>
  <c r="H8" i="138"/>
  <c r="H9" i="138"/>
  <c r="H10" i="138"/>
  <c r="H11" i="138"/>
  <c r="H12" i="138"/>
  <c r="H13" i="138"/>
  <c r="H2" i="138"/>
  <c r="K3" i="137"/>
  <c r="K4" i="137"/>
  <c r="K5" i="137"/>
  <c r="K6" i="137"/>
  <c r="K7" i="137"/>
  <c r="K8" i="137"/>
  <c r="K9" i="137"/>
  <c r="K10" i="137"/>
  <c r="K11" i="137"/>
  <c r="K12" i="137"/>
  <c r="K13" i="137"/>
  <c r="H3" i="137"/>
  <c r="H4" i="137"/>
  <c r="H5" i="137"/>
  <c r="H6" i="137"/>
  <c r="H7" i="137"/>
  <c r="H8" i="137"/>
  <c r="H9" i="137"/>
  <c r="H10" i="137"/>
  <c r="H11" i="137"/>
  <c r="H12" i="137"/>
  <c r="H13" i="137"/>
  <c r="K2" i="137"/>
  <c r="H2" i="137"/>
  <c r="A13" i="140"/>
  <c r="A12" i="140"/>
  <c r="A11" i="140"/>
  <c r="A10" i="140"/>
  <c r="A9" i="140"/>
  <c r="A8" i="140"/>
  <c r="A7" i="140"/>
  <c r="A6" i="140"/>
  <c r="A5" i="140"/>
  <c r="A4" i="140"/>
  <c r="A3" i="140"/>
  <c r="A2" i="140"/>
  <c r="A13" i="139"/>
  <c r="A12" i="139"/>
  <c r="A11" i="139"/>
  <c r="A10" i="139"/>
  <c r="A9" i="139"/>
  <c r="A8" i="139"/>
  <c r="A7" i="139"/>
  <c r="A6" i="139"/>
  <c r="A5" i="139"/>
  <c r="A4" i="139"/>
  <c r="A3" i="139"/>
  <c r="A2" i="139"/>
  <c r="A13" i="138"/>
  <c r="A12" i="138"/>
  <c r="A11" i="138"/>
  <c r="A10" i="138"/>
  <c r="A9" i="138"/>
  <c r="A8" i="138"/>
  <c r="A7" i="138"/>
  <c r="A6" i="138"/>
  <c r="A5" i="138"/>
  <c r="A4" i="138"/>
  <c r="A3" i="138"/>
  <c r="A2" i="138"/>
  <c r="A3" i="137"/>
  <c r="A4" i="137"/>
  <c r="A5" i="137"/>
  <c r="A6" i="137"/>
  <c r="A7" i="137"/>
  <c r="A8" i="137"/>
  <c r="A9" i="137"/>
  <c r="A10" i="137"/>
  <c r="A11" i="137"/>
  <c r="A12" i="137"/>
  <c r="A13" i="137"/>
  <c r="A2" i="137"/>
</calcChain>
</file>

<file path=xl/sharedStrings.xml><?xml version="1.0" encoding="utf-8"?>
<sst xmlns="http://schemas.openxmlformats.org/spreadsheetml/2006/main" count="356" uniqueCount="49">
  <si>
    <t>AtMLO2.1CT</t>
  </si>
  <si>
    <t>JobName</t>
  </si>
  <si>
    <t>AtMLO2.1CT_L456R_W459R</t>
  </si>
  <si>
    <t>SimID</t>
  </si>
  <si>
    <t>Ions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</si>
  <si>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</si>
  <si>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</si>
  <si>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</si>
  <si>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</si>
  <si>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</si>
  <si>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</si>
  <si>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</si>
  <si>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</si>
  <si>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</si>
  <si>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</si>
  <si>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</si>
  <si>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</si>
  <si>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ChainA_seq</t>
  </si>
  <si>
    <t>ChainA_name</t>
  </si>
  <si>
    <t>Ions_count</t>
  </si>
  <si>
    <t>CA</t>
  </si>
  <si>
    <t>ChainB_seq</t>
  </si>
  <si>
    <t>ChainB_name</t>
  </si>
  <si>
    <t>ChainC_seq</t>
  </si>
  <si>
    <t>ChainC_name</t>
  </si>
  <si>
    <t>ChainD_seq</t>
  </si>
  <si>
    <t>ChainD_name</t>
  </si>
  <si>
    <t>ChainA_count</t>
  </si>
  <si>
    <t>ChainB_count</t>
  </si>
  <si>
    <t>ChainC_count</t>
  </si>
  <si>
    <t>ChainD_count</t>
  </si>
  <si>
    <t>Seed</t>
  </si>
  <si>
    <t>1710</t>
  </si>
  <si>
    <t>1711</t>
  </si>
  <si>
    <t>1712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</si>
  <si>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</si>
  <si>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</si>
  <si>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</si>
  <si>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</si>
  <si>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</si>
  <si>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</si>
  <si>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</si>
  <si>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</si>
  <si>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</si>
  <si>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AtCAM2.1</t>
  </si>
  <si>
    <t>0132</t>
  </si>
  <si>
    <t>0133</t>
  </si>
  <si>
    <t>0134</t>
  </si>
  <si>
    <t>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</si>
</sst>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RWTH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549F"/>
      </a:accent1>
      <a:accent2>
        <a:srgbClr val="006165"/>
      </a:accent2>
      <a:accent3>
        <a:srgbClr val="0098A1"/>
      </a:accent3>
      <a:accent4>
        <a:srgbClr val="F6A800"/>
      </a:accent4>
      <a:accent5>
        <a:srgbClr val="A11035"/>
      </a:accent5>
      <a:accent6>
        <a:srgbClr val="646567"/>
      </a:accent6>
      <a:hlink>
        <a:srgbClr val="0563C1"/>
      </a:hlink>
      <a:folHlink>
        <a:srgbClr val="612158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3B2D-9C74-4FFD-B67C-3A4E5A1B4050}">
  <sheetPr>
    <tabColor theme="5"/>
  </sheetPr>
  <dimension ref="A1:R21"/>
  <sheetViews>
    <sheetView tabSelected="1" zoomScaleNormal="100" workbookViewId="0">
      <pane ySplit="1" topLeftCell="A2" activePane="bottomLeft" state="frozen"/>
      <selection activeCell="E33" sqref="E33"/>
      <selection pane="bottomLeft" activeCell="H21" sqref="H21"/>
    </sheetView>
  </sheetViews>
  <sheetFormatPr defaultColWidth="11.42578125" defaultRowHeight="15" x14ac:dyDescent="0.25"/>
  <cols>
    <col min="1" max="1" width="37.140625" bestFit="1" customWidth="1"/>
    <col min="2" max="2" width="6.140625" bestFit="1" customWidth="1"/>
    <col min="3" max="3" width="3.140625" bestFit="1" customWidth="1"/>
    <col min="4" max="4" width="5.140625" bestFit="1" customWidth="1"/>
    <col min="5" max="5" width="4.85546875" bestFit="1" customWidth="1"/>
    <col min="6" max="6" width="10.7109375" bestFit="1" customWidth="1"/>
    <col min="7" max="7" width="13.28515625" bestFit="1" customWidth="1"/>
    <col min="8" max="8" width="44" bestFit="1" customWidth="1"/>
    <col min="9" max="9" width="16.5703125" bestFit="1" customWidth="1"/>
    <col min="10" max="10" width="13.28515625" customWidth="1"/>
    <col min="11" max="11" width="27.85546875" bestFit="1" customWidth="1"/>
    <col min="12" max="13" width="13.28515625" bestFit="1" customWidth="1"/>
    <col min="14" max="14" width="45.28515625" bestFit="1" customWidth="1"/>
    <col min="15" max="15" width="13.28515625" bestFit="1" customWidth="1"/>
    <col min="16" max="16" width="13.42578125" bestFit="1" customWidth="1"/>
    <col min="17" max="17" width="24.7109375" bestFit="1" customWidth="1"/>
    <col min="18" max="18" width="13.42578125" bestFit="1" customWidth="1"/>
  </cols>
  <sheetData>
    <row r="1" spans="1:18" x14ac:dyDescent="0.25">
      <c r="A1" t="s">
        <v>1</v>
      </c>
      <c r="B1" t="s">
        <v>3</v>
      </c>
      <c r="D1" t="s">
        <v>31</v>
      </c>
      <c r="E1" t="s">
        <v>4</v>
      </c>
      <c r="F1" t="s">
        <v>19</v>
      </c>
      <c r="G1" t="s">
        <v>27</v>
      </c>
      <c r="H1" t="s">
        <v>17</v>
      </c>
      <c r="I1" t="s">
        <v>18</v>
      </c>
      <c r="J1" t="s">
        <v>28</v>
      </c>
      <c r="K1" t="s">
        <v>21</v>
      </c>
      <c r="L1" t="s">
        <v>22</v>
      </c>
      <c r="M1" t="s">
        <v>29</v>
      </c>
      <c r="N1" t="s">
        <v>23</v>
      </c>
      <c r="O1" t="s">
        <v>24</v>
      </c>
      <c r="P1" t="s">
        <v>30</v>
      </c>
      <c r="Q1" t="s">
        <v>25</v>
      </c>
      <c r="R1" t="s">
        <v>26</v>
      </c>
    </row>
    <row r="2" spans="1:18" x14ac:dyDescent="0.25">
      <c r="A2" t="str">
        <f>_xlfn.CONCAT(B2,"-",C2,"-",D2,"_",F2,E2,"_",G2,SUBSTITUTE(I2,".1",""),J2,SUBSTITUTE(L2,".1",""),M2,SUBSTITUTE(O2,".1",""),P2,SUBSTITUTE(R2,".1",""))</f>
        <v>0132-01-1710_0Ions_1AtMLO2CT1AtCAM2</v>
      </c>
      <c r="B2" s="1" t="s">
        <v>45</v>
      </c>
      <c r="C2" s="1" t="s">
        <v>5</v>
      </c>
      <c r="D2" s="1" t="s">
        <v>32</v>
      </c>
      <c r="E2" t="s">
        <v>4</v>
      </c>
      <c r="F2">
        <v>0</v>
      </c>
      <c r="G2">
        <v>1</v>
      </c>
      <c r="H2" s="2" t="str">
        <f>HYPERLINK("file://\\wsl.localhost\Ubuntu\home\user\projects\af3_workflow\sequences/" &amp; I2 &amp; ".fasta", "sequences\" &amp; I2 &amp; ".fasta")</f>
        <v>sequences\AtMLO2.1CT.fasta</v>
      </c>
      <c r="I2" t="s">
        <v>0</v>
      </c>
      <c r="J2">
        <v>1</v>
      </c>
      <c r="K2" s="2" t="str">
        <f>HYPERLINK("file://\\wsl.localhost\Ubuntu\home\user\projects\af3_workflow\sequences/" &amp; L2 &amp; ".fasta", "sequences\" &amp; L2 &amp; ".fasta")</f>
        <v>sequences\AtCAM2.1.fasta</v>
      </c>
      <c r="L2" t="s">
        <v>44</v>
      </c>
      <c r="N2" s="2"/>
      <c r="Q2" s="2"/>
    </row>
    <row r="3" spans="1:18" x14ac:dyDescent="0.25">
      <c r="A3" t="str">
        <f t="shared" ref="A3:A13" si="0">_xlfn.CONCAT(B3,"-",C3,"-",D3,"_",F3,E3,"_",G3,SUBSTITUTE(I3,".1",""),J3,SUBSTITUTE(L3,".1",""),M3,SUBSTITUTE(O3,".1",""),P3,SUBSTITUTE(R3,".1",""))</f>
        <v>0132-02-1711_0Ions_1AtMLO2CT1AtCAM2</v>
      </c>
      <c r="B3" s="1" t="s">
        <v>45</v>
      </c>
      <c r="C3" s="1" t="s">
        <v>6</v>
      </c>
      <c r="D3" s="1" t="s">
        <v>33</v>
      </c>
      <c r="E3" t="s">
        <v>4</v>
      </c>
      <c r="F3">
        <v>0</v>
      </c>
      <c r="G3">
        <v>1</v>
      </c>
      <c r="H3" s="2" t="str">
        <f t="shared" ref="H3:H13" si="1">HYPERLINK("file://\\wsl.localhost\Ubuntu\home\user\projects\af3_workflow\sequences/" &amp; I3 &amp; ".fasta", "sequences\" &amp; I3 &amp; ".fasta")</f>
        <v>sequences\AtMLO2.1CT.fasta</v>
      </c>
      <c r="I3" t="s">
        <v>0</v>
      </c>
      <c r="J3">
        <v>1</v>
      </c>
      <c r="K3" s="2" t="str">
        <f t="shared" ref="K3:K13" si="2">HYPERLINK("file://\\wsl.localhost\Ubuntu\home\user\projects\af3_workflow\sequences/" &amp; L3 &amp; ".fasta", "sequences\" &amp; L3 &amp; ".fasta")</f>
        <v>sequences\AtCAM2.1.fasta</v>
      </c>
      <c r="L3" t="s">
        <v>44</v>
      </c>
      <c r="Q3" s="2"/>
    </row>
    <row r="4" spans="1:18" x14ac:dyDescent="0.25">
      <c r="A4" t="str">
        <f t="shared" si="0"/>
        <v>0132-03-1712_0Ions_1AtMLO2CT1AtCAM2</v>
      </c>
      <c r="B4" s="1" t="s">
        <v>45</v>
      </c>
      <c r="C4" s="1" t="s">
        <v>7</v>
      </c>
      <c r="D4" s="1" t="s">
        <v>34</v>
      </c>
      <c r="E4" t="s">
        <v>4</v>
      </c>
      <c r="F4">
        <v>0</v>
      </c>
      <c r="G4">
        <v>1</v>
      </c>
      <c r="H4" s="2" t="str">
        <f t="shared" si="1"/>
        <v>sequences\AtMLO2.1CT.fasta</v>
      </c>
      <c r="I4" t="s">
        <v>0</v>
      </c>
      <c r="J4">
        <v>1</v>
      </c>
      <c r="K4" s="2" t="str">
        <f t="shared" si="2"/>
        <v>sequences\AtCAM2.1.fasta</v>
      </c>
      <c r="L4" t="s">
        <v>44</v>
      </c>
      <c r="Q4" s="2"/>
    </row>
    <row r="5" spans="1:18" x14ac:dyDescent="0.25">
      <c r="A5" t="str">
        <f t="shared" si="0"/>
        <v>0132-04-1701_0Ions_1AtMLO2CT1AtCAM2</v>
      </c>
      <c r="B5" s="1" t="s">
        <v>45</v>
      </c>
      <c r="C5" s="1" t="s">
        <v>8</v>
      </c>
      <c r="D5" s="1" t="s">
        <v>35</v>
      </c>
      <c r="E5" t="s">
        <v>4</v>
      </c>
      <c r="F5">
        <v>0</v>
      </c>
      <c r="G5">
        <v>1</v>
      </c>
      <c r="H5" s="2" t="str">
        <f t="shared" si="1"/>
        <v>sequences\AtMLO2.1CT.fasta</v>
      </c>
      <c r="I5" t="s">
        <v>0</v>
      </c>
      <c r="J5">
        <v>1</v>
      </c>
      <c r="K5" s="2" t="str">
        <f t="shared" si="2"/>
        <v>sequences\AtCAM2.1.fasta</v>
      </c>
      <c r="L5" t="s">
        <v>44</v>
      </c>
      <c r="Q5" s="2"/>
    </row>
    <row r="6" spans="1:18" x14ac:dyDescent="0.25">
      <c r="A6" t="str">
        <f t="shared" si="0"/>
        <v>0132-05-1702_0Ions_1AtMLO2CT1AtCAM2</v>
      </c>
      <c r="B6" s="1" t="s">
        <v>45</v>
      </c>
      <c r="C6" s="1" t="s">
        <v>9</v>
      </c>
      <c r="D6" s="1" t="s">
        <v>36</v>
      </c>
      <c r="E6" t="s">
        <v>4</v>
      </c>
      <c r="F6">
        <v>0</v>
      </c>
      <c r="G6">
        <v>1</v>
      </c>
      <c r="H6" s="2" t="str">
        <f t="shared" si="1"/>
        <v>sequences\AtMLO2.1CT.fasta</v>
      </c>
      <c r="I6" t="s">
        <v>0</v>
      </c>
      <c r="J6">
        <v>1</v>
      </c>
      <c r="K6" s="2" t="str">
        <f t="shared" si="2"/>
        <v>sequences\AtCAM2.1.fasta</v>
      </c>
      <c r="L6" t="s">
        <v>44</v>
      </c>
      <c r="Q6" s="2"/>
    </row>
    <row r="7" spans="1:18" x14ac:dyDescent="0.25">
      <c r="A7" t="str">
        <f t="shared" si="0"/>
        <v>0132-06-1703_0Ions_1AtMLO2CT1AtCAM2</v>
      </c>
      <c r="B7" s="1" t="s">
        <v>45</v>
      </c>
      <c r="C7" s="1" t="s">
        <v>10</v>
      </c>
      <c r="D7" s="1" t="s">
        <v>37</v>
      </c>
      <c r="E7" t="s">
        <v>4</v>
      </c>
      <c r="F7">
        <v>0</v>
      </c>
      <c r="G7">
        <v>1</v>
      </c>
      <c r="H7" s="2" t="str">
        <f t="shared" si="1"/>
        <v>sequences\AtMLO2.1CT.fasta</v>
      </c>
      <c r="I7" t="s">
        <v>0</v>
      </c>
      <c r="J7">
        <v>1</v>
      </c>
      <c r="K7" s="2" t="str">
        <f t="shared" si="2"/>
        <v>sequences\AtCAM2.1.fasta</v>
      </c>
      <c r="L7" t="s">
        <v>44</v>
      </c>
      <c r="Q7" s="2"/>
    </row>
    <row r="8" spans="1:18" x14ac:dyDescent="0.25">
      <c r="A8" t="str">
        <f t="shared" si="0"/>
        <v>0132-07-1704_0Ions_1AtMLO2CT1AtCAM2</v>
      </c>
      <c r="B8" s="1" t="s">
        <v>45</v>
      </c>
      <c r="C8" s="1" t="s">
        <v>11</v>
      </c>
      <c r="D8" s="1" t="s">
        <v>38</v>
      </c>
      <c r="E8" t="s">
        <v>4</v>
      </c>
      <c r="F8">
        <v>0</v>
      </c>
      <c r="G8">
        <v>1</v>
      </c>
      <c r="H8" s="2" t="str">
        <f t="shared" si="1"/>
        <v>sequences\AtMLO2.1CT.fasta</v>
      </c>
      <c r="I8" t="s">
        <v>0</v>
      </c>
      <c r="J8">
        <v>1</v>
      </c>
      <c r="K8" s="2" t="str">
        <f t="shared" si="2"/>
        <v>sequences\AtCAM2.1.fasta</v>
      </c>
      <c r="L8" t="s">
        <v>44</v>
      </c>
    </row>
    <row r="9" spans="1:18" x14ac:dyDescent="0.25">
      <c r="A9" t="str">
        <f t="shared" si="0"/>
        <v>0132-08-1705_0Ions_1AtMLO2CT1AtCAM2</v>
      </c>
      <c r="B9" s="1" t="s">
        <v>45</v>
      </c>
      <c r="C9" s="1" t="s">
        <v>12</v>
      </c>
      <c r="D9" s="1" t="s">
        <v>39</v>
      </c>
      <c r="E9" t="s">
        <v>4</v>
      </c>
      <c r="F9">
        <v>0</v>
      </c>
      <c r="G9">
        <v>1</v>
      </c>
      <c r="H9" s="2" t="str">
        <f t="shared" si="1"/>
        <v>sequences\AtMLO2.1CT.fasta</v>
      </c>
      <c r="I9" t="s">
        <v>0</v>
      </c>
      <c r="J9">
        <v>1</v>
      </c>
      <c r="K9" s="2" t="str">
        <f t="shared" si="2"/>
        <v>sequences\AtCAM2.1.fasta</v>
      </c>
      <c r="L9" t="s">
        <v>44</v>
      </c>
    </row>
    <row r="10" spans="1:18" x14ac:dyDescent="0.25">
      <c r="A10" t="str">
        <f t="shared" si="0"/>
        <v>0132-09-1706_0Ions_1AtMLO2CT1AtCAM2</v>
      </c>
      <c r="B10" s="1" t="s">
        <v>45</v>
      </c>
      <c r="C10" s="1" t="s">
        <v>13</v>
      </c>
      <c r="D10" s="1" t="s">
        <v>40</v>
      </c>
      <c r="E10" t="s">
        <v>4</v>
      </c>
      <c r="F10">
        <v>0</v>
      </c>
      <c r="G10">
        <v>1</v>
      </c>
      <c r="H10" s="2" t="str">
        <f t="shared" si="1"/>
        <v>sequences\AtMLO2.1CT.fasta</v>
      </c>
      <c r="I10" t="s">
        <v>0</v>
      </c>
      <c r="J10">
        <v>1</v>
      </c>
      <c r="K10" s="2" t="str">
        <f t="shared" si="2"/>
        <v>sequences\AtCAM2.1.fasta</v>
      </c>
      <c r="L10" t="s">
        <v>44</v>
      </c>
    </row>
    <row r="11" spans="1:18" x14ac:dyDescent="0.25">
      <c r="A11" t="str">
        <f t="shared" si="0"/>
        <v>0132-10-1707_0Ions_1AtMLO2CT1AtCAM2</v>
      </c>
      <c r="B11" s="1" t="s">
        <v>45</v>
      </c>
      <c r="C11" s="1" t="s">
        <v>14</v>
      </c>
      <c r="D11" s="1" t="s">
        <v>41</v>
      </c>
      <c r="E11" t="s">
        <v>4</v>
      </c>
      <c r="F11">
        <v>0</v>
      </c>
      <c r="G11">
        <v>1</v>
      </c>
      <c r="H11" s="2" t="str">
        <f t="shared" si="1"/>
        <v>sequences\AtMLO2.1CT.fasta</v>
      </c>
      <c r="I11" t="s">
        <v>0</v>
      </c>
      <c r="J11">
        <v>1</v>
      </c>
      <c r="K11" s="2" t="str">
        <f t="shared" si="2"/>
        <v>sequences\AtCAM2.1.fasta</v>
      </c>
      <c r="L11" t="s">
        <v>44</v>
      </c>
    </row>
    <row r="12" spans="1:18" x14ac:dyDescent="0.25">
      <c r="A12" t="str">
        <f t="shared" si="0"/>
        <v>0132-11-1708_0Ions_1AtMLO2CT1AtCAM2</v>
      </c>
      <c r="B12" s="1" t="s">
        <v>45</v>
      </c>
      <c r="C12" s="1" t="s">
        <v>15</v>
      </c>
      <c r="D12" s="1" t="s">
        <v>42</v>
      </c>
      <c r="E12" t="s">
        <v>4</v>
      </c>
      <c r="F12">
        <v>0</v>
      </c>
      <c r="G12">
        <v>1</v>
      </c>
      <c r="H12" s="2" t="str">
        <f t="shared" si="1"/>
        <v>sequences\AtMLO2.1CT.fasta</v>
      </c>
      <c r="I12" t="s">
        <v>0</v>
      </c>
      <c r="J12">
        <v>1</v>
      </c>
      <c r="K12" s="2" t="str">
        <f t="shared" si="2"/>
        <v>sequences\AtCAM2.1.fasta</v>
      </c>
      <c r="L12" t="s">
        <v>44</v>
      </c>
    </row>
    <row r="13" spans="1:18" x14ac:dyDescent="0.25">
      <c r="A13" t="str">
        <f t="shared" si="0"/>
        <v>0132-12-1709_0Ions_1AtMLO2CT1AtCAM2</v>
      </c>
      <c r="B13" s="1" t="s">
        <v>45</v>
      </c>
      <c r="C13" s="1" t="s">
        <v>16</v>
      </c>
      <c r="D13" s="1" t="s">
        <v>43</v>
      </c>
      <c r="E13" t="s">
        <v>4</v>
      </c>
      <c r="F13">
        <v>0</v>
      </c>
      <c r="G13">
        <v>1</v>
      </c>
      <c r="H13" s="2" t="str">
        <f t="shared" si="1"/>
        <v>sequences\AtMLO2.1CT.fasta</v>
      </c>
      <c r="I13" t="s">
        <v>0</v>
      </c>
      <c r="J13">
        <v>1</v>
      </c>
      <c r="K13" s="2" t="str">
        <f t="shared" si="2"/>
        <v>sequences\AtCAM2.1.fasta</v>
      </c>
      <c r="L13" t="s">
        <v>44</v>
      </c>
    </row>
    <row r="14" spans="1:18" x14ac:dyDescent="0.25">
      <c r="B14" s="1"/>
      <c r="C14" s="1"/>
      <c r="D14" s="1"/>
      <c r="H14" s="2"/>
    </row>
    <row r="15" spans="1:18" x14ac:dyDescent="0.25">
      <c r="B15" s="1"/>
      <c r="C15" s="1"/>
      <c r="D15" s="1"/>
      <c r="H15" s="2"/>
    </row>
    <row r="16" spans="1:18" x14ac:dyDescent="0.25">
      <c r="B16" s="1"/>
      <c r="C16" s="1"/>
      <c r="D16" s="1"/>
      <c r="H16" s="2"/>
    </row>
    <row r="17" spans="2:8" x14ac:dyDescent="0.25">
      <c r="B17" s="1"/>
      <c r="C17" s="1"/>
      <c r="D17" s="1"/>
      <c r="H17" s="2"/>
    </row>
    <row r="18" spans="2:8" x14ac:dyDescent="0.25">
      <c r="B18" s="1"/>
      <c r="C18" s="1"/>
      <c r="D18" s="1"/>
      <c r="H18" s="2"/>
    </row>
    <row r="19" spans="2:8" x14ac:dyDescent="0.25">
      <c r="B19" s="1"/>
      <c r="C19" s="1"/>
      <c r="D19" s="1"/>
      <c r="H19" s="2"/>
    </row>
    <row r="20" spans="2:8" x14ac:dyDescent="0.25">
      <c r="B20" s="1"/>
      <c r="C20" s="1"/>
      <c r="D20" s="1"/>
      <c r="H20" s="2"/>
    </row>
    <row r="21" spans="2:8" x14ac:dyDescent="0.25">
      <c r="B21" s="1"/>
      <c r="C21" s="1"/>
      <c r="D21" s="1"/>
      <c r="H21" s="2"/>
    </row>
  </sheetData>
  <phoneticPr fontId="1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7FBF-A2E6-4DE5-B932-695BE9C01E91}">
  <sheetPr>
    <tabColor theme="5"/>
  </sheetPr>
  <dimension ref="A1:R21"/>
  <sheetViews>
    <sheetView zoomScaleNormal="100" workbookViewId="0">
      <pane ySplit="1" topLeftCell="A2" activePane="bottomLeft" state="frozen"/>
      <selection activeCell="E33" sqref="E33"/>
      <selection pane="bottomLeft" activeCell="H13" sqref="H13"/>
    </sheetView>
  </sheetViews>
  <sheetFormatPr defaultColWidth="11.42578125" defaultRowHeight="15" x14ac:dyDescent="0.25"/>
  <cols>
    <col min="1" max="1" width="37.140625" bestFit="1" customWidth="1"/>
    <col min="2" max="2" width="6.140625" bestFit="1" customWidth="1"/>
    <col min="3" max="3" width="3.140625" bestFit="1" customWidth="1"/>
    <col min="4" max="4" width="5.140625" bestFit="1" customWidth="1"/>
    <col min="5" max="5" width="4.85546875" bestFit="1" customWidth="1"/>
    <col min="6" max="6" width="10.7109375" bestFit="1" customWidth="1"/>
    <col min="7" max="7" width="13.28515625" bestFit="1" customWidth="1"/>
    <col min="8" max="8" width="44" bestFit="1" customWidth="1"/>
    <col min="9" max="9" width="24.28515625" bestFit="1" customWidth="1"/>
    <col min="10" max="10" width="13.28515625" customWidth="1"/>
    <col min="11" max="11" width="27.85546875" bestFit="1" customWidth="1"/>
    <col min="12" max="13" width="13.28515625" bestFit="1" customWidth="1"/>
    <col min="14" max="14" width="45.28515625" bestFit="1" customWidth="1"/>
    <col min="15" max="15" width="13.28515625" bestFit="1" customWidth="1"/>
    <col min="16" max="16" width="13.42578125" bestFit="1" customWidth="1"/>
    <col min="17" max="17" width="24.7109375" bestFit="1" customWidth="1"/>
    <col min="18" max="18" width="13.42578125" bestFit="1" customWidth="1"/>
  </cols>
  <sheetData>
    <row r="1" spans="1:18" x14ac:dyDescent="0.25">
      <c r="A1" t="s">
        <v>1</v>
      </c>
      <c r="B1" t="s">
        <v>3</v>
      </c>
      <c r="D1" t="s">
        <v>31</v>
      </c>
      <c r="E1" t="s">
        <v>4</v>
      </c>
      <c r="F1" t="s">
        <v>19</v>
      </c>
      <c r="G1" t="s">
        <v>27</v>
      </c>
      <c r="H1" t="s">
        <v>17</v>
      </c>
      <c r="I1" t="s">
        <v>18</v>
      </c>
      <c r="J1" t="s">
        <v>28</v>
      </c>
      <c r="K1" t="s">
        <v>21</v>
      </c>
      <c r="L1" t="s">
        <v>22</v>
      </c>
      <c r="M1" t="s">
        <v>29</v>
      </c>
      <c r="N1" t="s">
        <v>23</v>
      </c>
      <c r="O1" t="s">
        <v>24</v>
      </c>
      <c r="P1" t="s">
        <v>30</v>
      </c>
      <c r="Q1" t="s">
        <v>25</v>
      </c>
      <c r="R1" t="s">
        <v>26</v>
      </c>
    </row>
    <row r="2" spans="1:18" x14ac:dyDescent="0.25">
      <c r="A2" t="str">
        <f>_xlfn.CONCAT(B2,"-",C2,"-",D2,"_",F2,E2,"_",G2,SUBSTITUTE(I2,".1",""),J2,SUBSTITUTE(L2,".1",""),M2,SUBSTITUTE(O2,".1",""),P2,SUBSTITUTE(R2,".1",""))</f>
        <v>0133-01-1710_0Ions_1AtMLO2CT_L456R_W459R1AtCAM2</v>
      </c>
      <c r="B2" s="1" t="s">
        <v>46</v>
      </c>
      <c r="C2" s="1" t="s">
        <v>5</v>
      </c>
      <c r="D2" s="1" t="s">
        <v>32</v>
      </c>
      <c r="E2" t="s">
        <v>4</v>
      </c>
      <c r="F2">
        <v>0</v>
      </c>
      <c r="G2">
        <v>1</v>
      </c>
      <c r="H2" s="2" t="str">
        <f>HYPERLINK("file://\\wsl.localhost\Ubuntu\home\user\projects\af3_workflow\sequences/" &amp; I2 &amp; ".fasta", "sequences\" &amp; I2 &amp; ".fasta")</f>
        <v>sequences\AtMLO2.1CT_L456R_W459R.fasta</v>
      </c>
      <c r="I2" t="s">
        <v>2</v>
      </c>
      <c r="J2">
        <v>1</v>
      </c>
      <c r="K2" s="2" t="str">
        <f>HYPERLINK("file://\\wsl.localhost\Ubuntu\home\user\projects\af3_workflow\sequences/" &amp; L2 &amp; ".fasta", "sequences\" &amp; L2 &amp; ".fasta")</f>
        <v>sequences\AtCAM2.1.fasta</v>
      </c>
      <c r="L2" t="s">
        <v>44</v>
      </c>
      <c r="N2" s="2"/>
      <c r="Q2" s="2"/>
    </row>
    <row r="3" spans="1:18" x14ac:dyDescent="0.25">
      <c r="A3" t="str">
        <f t="shared" ref="A3:A13" si="0">_xlfn.CONCAT(B3,"-",C3,"-",D3,"_",F3,E3,"_",G3,SUBSTITUTE(I3,".1",""),J3,SUBSTITUTE(L3,".1",""),M3,SUBSTITUTE(O3,".1",""),P3,SUBSTITUTE(R3,".1",""))</f>
        <v>0133-02-1711_0Ions_1AtMLO2CT_L456R_W459R1AtCAM2</v>
      </c>
      <c r="B3" s="1" t="s">
        <v>46</v>
      </c>
      <c r="C3" s="1" t="s">
        <v>6</v>
      </c>
      <c r="D3" s="1" t="s">
        <v>33</v>
      </c>
      <c r="E3" t="s">
        <v>4</v>
      </c>
      <c r="F3">
        <v>0</v>
      </c>
      <c r="G3">
        <v>1</v>
      </c>
      <c r="H3" s="2" t="str">
        <f t="shared" ref="H3:H13" si="1">HYPERLINK("file://\\wsl.localhost\Ubuntu\home\user\projects\af3_workflow\sequences/" &amp; I3 &amp; ".fasta", "sequences\" &amp; I3 &amp; ".fasta")</f>
        <v>sequences\AtMLO2.1CT_L456R_W459R.fasta</v>
      </c>
      <c r="I3" t="s">
        <v>2</v>
      </c>
      <c r="J3">
        <v>1</v>
      </c>
      <c r="K3" s="2" t="str">
        <f t="shared" ref="K3:K13" si="2">HYPERLINK("file://\\wsl.localhost\Ubuntu\home\user\projects\af3_workflow\sequences/" &amp; L3 &amp; ".fasta", "sequences\" &amp; L3 &amp; ".fasta")</f>
        <v>sequences\AtCAM2.1.fasta</v>
      </c>
      <c r="L3" t="s">
        <v>44</v>
      </c>
      <c r="Q3" s="2"/>
    </row>
    <row r="4" spans="1:18" x14ac:dyDescent="0.25">
      <c r="A4" t="str">
        <f t="shared" si="0"/>
        <v>0133-03-1712_0Ions_1AtMLO2CT_L456R_W459R1AtCAM2</v>
      </c>
      <c r="B4" s="1" t="s">
        <v>46</v>
      </c>
      <c r="C4" s="1" t="s">
        <v>7</v>
      </c>
      <c r="D4" s="1" t="s">
        <v>34</v>
      </c>
      <c r="E4" t="s">
        <v>4</v>
      </c>
      <c r="F4">
        <v>0</v>
      </c>
      <c r="G4">
        <v>1</v>
      </c>
      <c r="H4" s="2" t="str">
        <f t="shared" si="1"/>
        <v>sequences\AtMLO2.1CT_L456R_W459R.fasta</v>
      </c>
      <c r="I4" t="s">
        <v>2</v>
      </c>
      <c r="J4">
        <v>1</v>
      </c>
      <c r="K4" s="2" t="str">
        <f t="shared" si="2"/>
        <v>sequences\AtCAM2.1.fasta</v>
      </c>
      <c r="L4" t="s">
        <v>44</v>
      </c>
      <c r="Q4" s="2"/>
    </row>
    <row r="5" spans="1:18" x14ac:dyDescent="0.25">
      <c r="A5" t="str">
        <f t="shared" si="0"/>
        <v>0133-04-1701_0Ions_1AtMLO2CT_L456R_W459R1AtCAM2</v>
      </c>
      <c r="B5" s="1" t="s">
        <v>46</v>
      </c>
      <c r="C5" s="1" t="s">
        <v>8</v>
      </c>
      <c r="D5" s="1" t="s">
        <v>35</v>
      </c>
      <c r="E5" t="s">
        <v>4</v>
      </c>
      <c r="F5">
        <v>0</v>
      </c>
      <c r="G5">
        <v>1</v>
      </c>
      <c r="H5" s="2" t="str">
        <f t="shared" si="1"/>
        <v>sequences\AtMLO2.1CT_L456R_W459R.fasta</v>
      </c>
      <c r="I5" t="s">
        <v>2</v>
      </c>
      <c r="J5">
        <v>1</v>
      </c>
      <c r="K5" s="2" t="str">
        <f t="shared" si="2"/>
        <v>sequences\AtCAM2.1.fasta</v>
      </c>
      <c r="L5" t="s">
        <v>44</v>
      </c>
      <c r="Q5" s="2"/>
    </row>
    <row r="6" spans="1:18" x14ac:dyDescent="0.25">
      <c r="A6" t="str">
        <f t="shared" si="0"/>
        <v>0133-05-1702_0Ions_1AtMLO2CT_L456R_W459R1AtCAM2</v>
      </c>
      <c r="B6" s="1" t="s">
        <v>46</v>
      </c>
      <c r="C6" s="1" t="s">
        <v>9</v>
      </c>
      <c r="D6" s="1" t="s">
        <v>36</v>
      </c>
      <c r="E6" t="s">
        <v>4</v>
      </c>
      <c r="F6">
        <v>0</v>
      </c>
      <c r="G6">
        <v>1</v>
      </c>
      <c r="H6" s="2" t="str">
        <f t="shared" si="1"/>
        <v>sequences\AtMLO2.1CT_L456R_W459R.fasta</v>
      </c>
      <c r="I6" t="s">
        <v>2</v>
      </c>
      <c r="J6">
        <v>1</v>
      </c>
      <c r="K6" s="2" t="str">
        <f t="shared" si="2"/>
        <v>sequences\AtCAM2.1.fasta</v>
      </c>
      <c r="L6" t="s">
        <v>44</v>
      </c>
      <c r="Q6" s="2"/>
    </row>
    <row r="7" spans="1:18" x14ac:dyDescent="0.25">
      <c r="A7" t="str">
        <f t="shared" si="0"/>
        <v>0133-06-1703_0Ions_1AtMLO2CT_L456R_W459R1AtCAM2</v>
      </c>
      <c r="B7" s="1" t="s">
        <v>46</v>
      </c>
      <c r="C7" s="1" t="s">
        <v>10</v>
      </c>
      <c r="D7" s="1" t="s">
        <v>37</v>
      </c>
      <c r="E7" t="s">
        <v>4</v>
      </c>
      <c r="F7">
        <v>0</v>
      </c>
      <c r="G7">
        <v>1</v>
      </c>
      <c r="H7" s="2" t="str">
        <f t="shared" si="1"/>
        <v>sequences\AtMLO2.1CT_L456R_W459R.fasta</v>
      </c>
      <c r="I7" t="s">
        <v>2</v>
      </c>
      <c r="J7">
        <v>1</v>
      </c>
      <c r="K7" s="2" t="str">
        <f t="shared" si="2"/>
        <v>sequences\AtCAM2.1.fasta</v>
      </c>
      <c r="L7" t="s">
        <v>44</v>
      </c>
      <c r="Q7" s="2"/>
    </row>
    <row r="8" spans="1:18" x14ac:dyDescent="0.25">
      <c r="A8" t="str">
        <f t="shared" si="0"/>
        <v>0133-07-1704_0Ions_1AtMLO2CT_L456R_W459R1AtCAM2</v>
      </c>
      <c r="B8" s="1" t="s">
        <v>46</v>
      </c>
      <c r="C8" s="1" t="s">
        <v>11</v>
      </c>
      <c r="D8" s="1" t="s">
        <v>38</v>
      </c>
      <c r="E8" t="s">
        <v>4</v>
      </c>
      <c r="F8">
        <v>0</v>
      </c>
      <c r="G8">
        <v>1</v>
      </c>
      <c r="H8" s="2" t="str">
        <f t="shared" si="1"/>
        <v>sequences\AtMLO2.1CT_L456R_W459R.fasta</v>
      </c>
      <c r="I8" t="s">
        <v>2</v>
      </c>
      <c r="J8">
        <v>1</v>
      </c>
      <c r="K8" s="2" t="str">
        <f t="shared" si="2"/>
        <v>sequences\AtCAM2.1.fasta</v>
      </c>
      <c r="L8" t="s">
        <v>44</v>
      </c>
    </row>
    <row r="9" spans="1:18" x14ac:dyDescent="0.25">
      <c r="A9" t="str">
        <f t="shared" si="0"/>
        <v>0133-08-1705_0Ions_1AtMLO2CT_L456R_W459R1AtCAM2</v>
      </c>
      <c r="B9" s="1" t="s">
        <v>46</v>
      </c>
      <c r="C9" s="1" t="s">
        <v>12</v>
      </c>
      <c r="D9" s="1" t="s">
        <v>39</v>
      </c>
      <c r="E9" t="s">
        <v>4</v>
      </c>
      <c r="F9">
        <v>0</v>
      </c>
      <c r="G9">
        <v>1</v>
      </c>
      <c r="H9" s="2" t="str">
        <f t="shared" si="1"/>
        <v>sequences\AtMLO2.1CT_L456R_W459R.fasta</v>
      </c>
      <c r="I9" t="s">
        <v>2</v>
      </c>
      <c r="J9">
        <v>1</v>
      </c>
      <c r="K9" s="2" t="str">
        <f t="shared" si="2"/>
        <v>sequences\AtCAM2.1.fasta</v>
      </c>
      <c r="L9" t="s">
        <v>44</v>
      </c>
    </row>
    <row r="10" spans="1:18" x14ac:dyDescent="0.25">
      <c r="A10" t="str">
        <f t="shared" si="0"/>
        <v>0133-09-1706_0Ions_1AtMLO2CT_L456R_W459R1AtCAM2</v>
      </c>
      <c r="B10" s="1" t="s">
        <v>46</v>
      </c>
      <c r="C10" s="1" t="s">
        <v>13</v>
      </c>
      <c r="D10" s="1" t="s">
        <v>40</v>
      </c>
      <c r="E10" t="s">
        <v>4</v>
      </c>
      <c r="F10">
        <v>0</v>
      </c>
      <c r="G10">
        <v>1</v>
      </c>
      <c r="H10" s="2" t="str">
        <f t="shared" si="1"/>
        <v>sequences\AtMLO2.1CT_L456R_W459R.fasta</v>
      </c>
      <c r="I10" t="s">
        <v>2</v>
      </c>
      <c r="J10">
        <v>1</v>
      </c>
      <c r="K10" s="2" t="str">
        <f t="shared" si="2"/>
        <v>sequences\AtCAM2.1.fasta</v>
      </c>
      <c r="L10" t="s">
        <v>44</v>
      </c>
    </row>
    <row r="11" spans="1:18" x14ac:dyDescent="0.25">
      <c r="A11" t="str">
        <f t="shared" si="0"/>
        <v>0133-10-1707_0Ions_1AtMLO2CT_L456R_W459R1AtCAM2</v>
      </c>
      <c r="B11" s="1" t="s">
        <v>46</v>
      </c>
      <c r="C11" s="1" t="s">
        <v>14</v>
      </c>
      <c r="D11" s="1" t="s">
        <v>41</v>
      </c>
      <c r="E11" t="s">
        <v>4</v>
      </c>
      <c r="F11">
        <v>0</v>
      </c>
      <c r="G11">
        <v>1</v>
      </c>
      <c r="H11" s="2" t="str">
        <f t="shared" si="1"/>
        <v>sequences\AtMLO2.1CT_L456R_W459R.fasta</v>
      </c>
      <c r="I11" t="s">
        <v>2</v>
      </c>
      <c r="J11">
        <v>1</v>
      </c>
      <c r="K11" s="2" t="str">
        <f t="shared" si="2"/>
        <v>sequences\AtCAM2.1.fasta</v>
      </c>
      <c r="L11" t="s">
        <v>44</v>
      </c>
    </row>
    <row r="12" spans="1:18" x14ac:dyDescent="0.25">
      <c r="A12" t="str">
        <f t="shared" si="0"/>
        <v>0133-11-1708_0Ions_1AtMLO2CT_L456R_W459R1AtCAM2</v>
      </c>
      <c r="B12" s="1" t="s">
        <v>46</v>
      </c>
      <c r="C12" s="1" t="s">
        <v>15</v>
      </c>
      <c r="D12" s="1" t="s">
        <v>42</v>
      </c>
      <c r="E12" t="s">
        <v>4</v>
      </c>
      <c r="F12">
        <v>0</v>
      </c>
      <c r="G12">
        <v>1</v>
      </c>
      <c r="H12" s="2" t="str">
        <f t="shared" si="1"/>
        <v>sequences\AtMLO2.1CT_L456R_W459R.fasta</v>
      </c>
      <c r="I12" t="s">
        <v>2</v>
      </c>
      <c r="J12">
        <v>1</v>
      </c>
      <c r="K12" s="2" t="str">
        <f t="shared" si="2"/>
        <v>sequences\AtCAM2.1.fasta</v>
      </c>
      <c r="L12" t="s">
        <v>44</v>
      </c>
    </row>
    <row r="13" spans="1:18" x14ac:dyDescent="0.25">
      <c r="A13" t="str">
        <f t="shared" si="0"/>
        <v>0133-12-1709_0Ions_1AtMLO2CT_L456R_W459R1AtCAM2</v>
      </c>
      <c r="B13" s="1" t="s">
        <v>46</v>
      </c>
      <c r="C13" s="1" t="s">
        <v>16</v>
      </c>
      <c r="D13" s="1" t="s">
        <v>43</v>
      </c>
      <c r="E13" t="s">
        <v>4</v>
      </c>
      <c r="F13">
        <v>0</v>
      </c>
      <c r="G13">
        <v>1</v>
      </c>
      <c r="H13" s="2" t="str">
        <f t="shared" si="1"/>
        <v>sequences\AtMLO2.1CT_L456R_W459R.fasta</v>
      </c>
      <c r="I13" t="s">
        <v>2</v>
      </c>
      <c r="J13">
        <v>1</v>
      </c>
      <c r="K13" s="2" t="str">
        <f t="shared" si="2"/>
        <v>sequences\AtCAM2.1.fasta</v>
      </c>
      <c r="L13" t="s">
        <v>44</v>
      </c>
    </row>
    <row r="14" spans="1:18" x14ac:dyDescent="0.25">
      <c r="B14" s="1"/>
      <c r="C14" s="1"/>
      <c r="D14" s="1"/>
      <c r="H14" s="2"/>
    </row>
    <row r="15" spans="1:18" x14ac:dyDescent="0.25">
      <c r="B15" s="1"/>
      <c r="C15" s="1"/>
      <c r="D15" s="1"/>
      <c r="H15" s="2"/>
    </row>
    <row r="16" spans="1:18" x14ac:dyDescent="0.25">
      <c r="B16" s="1"/>
      <c r="C16" s="1"/>
      <c r="D16" s="1"/>
      <c r="H16" s="2"/>
    </row>
    <row r="17" spans="2:8" x14ac:dyDescent="0.25">
      <c r="B17" s="1"/>
      <c r="C17" s="1"/>
      <c r="D17" s="1"/>
      <c r="H17" s="2"/>
    </row>
    <row r="18" spans="2:8" x14ac:dyDescent="0.25">
      <c r="B18" s="1"/>
      <c r="C18" s="1"/>
      <c r="D18" s="1"/>
      <c r="H18" s="2"/>
    </row>
    <row r="19" spans="2:8" x14ac:dyDescent="0.25">
      <c r="B19" s="1"/>
      <c r="C19" s="1"/>
      <c r="D19" s="1"/>
      <c r="H19" s="2"/>
    </row>
    <row r="20" spans="2:8" x14ac:dyDescent="0.25">
      <c r="B20" s="1"/>
      <c r="C20" s="1"/>
      <c r="D20" s="1"/>
      <c r="H20" s="2"/>
    </row>
    <row r="21" spans="2:8" x14ac:dyDescent="0.25">
      <c r="B21" s="1"/>
      <c r="C21" s="1"/>
      <c r="D21" s="1"/>
      <c r="H21" s="2"/>
    </row>
  </sheetData>
  <phoneticPr fontId="1" type="noConversion"/>
  <pageMargins left="0.7" right="0.7" top="0.78740157499999996" bottom="0.78740157499999996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6188-19DE-45D7-9B7D-9581D26676CF}">
  <sheetPr>
    <tabColor theme="5"/>
  </sheetPr>
  <dimension ref="A1:R21"/>
  <sheetViews>
    <sheetView zoomScaleNormal="100" workbookViewId="0">
      <pane ySplit="1" topLeftCell="A2" activePane="bottomLeft" state="frozen"/>
      <selection activeCell="E33" sqref="E33"/>
      <selection pane="bottomLeft" activeCell="H13" sqref="H13"/>
    </sheetView>
  </sheetViews>
  <sheetFormatPr defaultColWidth="11.42578125" defaultRowHeight="15" x14ac:dyDescent="0.25"/>
  <cols>
    <col min="1" max="1" width="37.140625" bestFit="1" customWidth="1"/>
    <col min="2" max="2" width="6.140625" bestFit="1" customWidth="1"/>
    <col min="3" max="3" width="3.140625" bestFit="1" customWidth="1"/>
    <col min="4" max="4" width="5.140625" bestFit="1" customWidth="1"/>
    <col min="5" max="5" width="4.85546875" bestFit="1" customWidth="1"/>
    <col min="6" max="6" width="10.7109375" bestFit="1" customWidth="1"/>
    <col min="7" max="7" width="13.28515625" bestFit="1" customWidth="1"/>
    <col min="8" max="8" width="44" bestFit="1" customWidth="1"/>
    <col min="9" max="9" width="16.5703125" bestFit="1" customWidth="1"/>
    <col min="10" max="10" width="13.28515625" customWidth="1"/>
    <col min="11" max="11" width="27.85546875" bestFit="1" customWidth="1"/>
    <col min="12" max="13" width="13.28515625" bestFit="1" customWidth="1"/>
    <col min="14" max="14" width="45.28515625" bestFit="1" customWidth="1"/>
    <col min="15" max="15" width="13.28515625" bestFit="1" customWidth="1"/>
    <col min="16" max="16" width="13.42578125" bestFit="1" customWidth="1"/>
    <col min="17" max="17" width="24.7109375" bestFit="1" customWidth="1"/>
    <col min="18" max="18" width="13.42578125" bestFit="1" customWidth="1"/>
  </cols>
  <sheetData>
    <row r="1" spans="1:18" x14ac:dyDescent="0.25">
      <c r="A1" t="s">
        <v>1</v>
      </c>
      <c r="B1" t="s">
        <v>3</v>
      </c>
      <c r="D1" t="s">
        <v>31</v>
      </c>
      <c r="E1" t="s">
        <v>4</v>
      </c>
      <c r="F1" t="s">
        <v>19</v>
      </c>
      <c r="G1" t="s">
        <v>27</v>
      </c>
      <c r="H1" t="s">
        <v>17</v>
      </c>
      <c r="I1" t="s">
        <v>18</v>
      </c>
      <c r="J1" t="s">
        <v>28</v>
      </c>
      <c r="K1" t="s">
        <v>21</v>
      </c>
      <c r="L1" t="s">
        <v>22</v>
      </c>
      <c r="M1" t="s">
        <v>29</v>
      </c>
      <c r="N1" t="s">
        <v>23</v>
      </c>
      <c r="O1" t="s">
        <v>24</v>
      </c>
      <c r="P1" t="s">
        <v>30</v>
      </c>
      <c r="Q1" t="s">
        <v>25</v>
      </c>
      <c r="R1" t="s">
        <v>26</v>
      </c>
    </row>
    <row r="2" spans="1:18" x14ac:dyDescent="0.25">
      <c r="A2" t="str">
        <f>_xlfn.CONCAT(B2,"-",C2,"-",D2,"_",F2,E2,"_",G2,SUBSTITUTE(I2,".1",""),J2,SUBSTITUTE(L2,".1",""),M2,SUBSTITUTE(O2,".1",""),P2,SUBSTITUTE(R2,".1",""))</f>
        <v>0134-01-1710_4CA_1AtMLO2CT1AtCAM2</v>
      </c>
      <c r="B2" s="1" t="s">
        <v>47</v>
      </c>
      <c r="C2" s="1" t="s">
        <v>5</v>
      </c>
      <c r="D2" s="1" t="s">
        <v>32</v>
      </c>
      <c r="E2" t="s">
        <v>20</v>
      </c>
      <c r="F2">
        <v>4</v>
      </c>
      <c r="G2">
        <v>1</v>
      </c>
      <c r="H2" s="2" t="str">
        <f>HYPERLINK("file://\\wsl.localhost\Ubuntu\home\user\projects\af3_workflow\sequences/" &amp; I2 &amp; ".fasta", "sequences\" &amp; I2 &amp; ".fasta")</f>
        <v>sequences\AtMLO2.1CT.fasta</v>
      </c>
      <c r="I2" t="s">
        <v>0</v>
      </c>
      <c r="J2">
        <v>1</v>
      </c>
      <c r="K2" s="2" t="str">
        <f>HYPERLINK("file://\\wsl.localhost\Ubuntu\home\user\projects\af3_workflow\sequences/" &amp; L2 &amp; ".fasta", "sequences\" &amp; L2 &amp; ".fasta")</f>
        <v>sequences\AtCAM2.1.fasta</v>
      </c>
      <c r="L2" t="s">
        <v>44</v>
      </c>
      <c r="N2" s="2"/>
      <c r="Q2" s="2"/>
    </row>
    <row r="3" spans="1:18" x14ac:dyDescent="0.25">
      <c r="A3" t="str">
        <f t="shared" ref="A3:A13" si="0">_xlfn.CONCAT(B3,"-",C3,"-",D3,"_",F3,E3,"_",G3,SUBSTITUTE(I3,".1",""),J3,SUBSTITUTE(L3,".1",""),M3,SUBSTITUTE(O3,".1",""),P3,SUBSTITUTE(R3,".1",""))</f>
        <v>0134-02-1711_4CA_1AtMLO2CT1AtCAM2</v>
      </c>
      <c r="B3" s="1" t="s">
        <v>47</v>
      </c>
      <c r="C3" s="1" t="s">
        <v>6</v>
      </c>
      <c r="D3" s="1" t="s">
        <v>33</v>
      </c>
      <c r="E3" t="s">
        <v>20</v>
      </c>
      <c r="F3">
        <v>4</v>
      </c>
      <c r="G3">
        <v>1</v>
      </c>
      <c r="H3" s="2" t="str">
        <f t="shared" ref="H3:H13" si="1">HYPERLINK("file://\\wsl.localhost\Ubuntu\home\user\projects\af3_workflow\sequences/" &amp; I3 &amp; ".fasta", "sequences\" &amp; I3 &amp; ".fasta")</f>
        <v>sequences\AtMLO2.1CT.fasta</v>
      </c>
      <c r="I3" t="s">
        <v>0</v>
      </c>
      <c r="J3">
        <v>1</v>
      </c>
      <c r="K3" s="2" t="str">
        <f t="shared" ref="K3:K13" si="2">HYPERLINK("file://\\wsl.localhost\Ubuntu\home\user\projects\af3_workflow\sequences/" &amp; L3 &amp; ".fasta", "sequences\" &amp; L3 &amp; ".fasta")</f>
        <v>sequences\AtCAM2.1.fasta</v>
      </c>
      <c r="L3" t="s">
        <v>44</v>
      </c>
      <c r="Q3" s="2"/>
    </row>
    <row r="4" spans="1:18" x14ac:dyDescent="0.25">
      <c r="A4" t="str">
        <f t="shared" si="0"/>
        <v>0134-03-1712_4CA_1AtMLO2CT1AtCAM2</v>
      </c>
      <c r="B4" s="1" t="s">
        <v>47</v>
      </c>
      <c r="C4" s="1" t="s">
        <v>7</v>
      </c>
      <c r="D4" s="1" t="s">
        <v>34</v>
      </c>
      <c r="E4" t="s">
        <v>20</v>
      </c>
      <c r="F4">
        <v>4</v>
      </c>
      <c r="G4">
        <v>1</v>
      </c>
      <c r="H4" s="2" t="str">
        <f t="shared" si="1"/>
        <v>sequences\AtMLO2.1CT.fasta</v>
      </c>
      <c r="I4" t="s">
        <v>0</v>
      </c>
      <c r="J4">
        <v>1</v>
      </c>
      <c r="K4" s="2" t="str">
        <f t="shared" si="2"/>
        <v>sequences\AtCAM2.1.fasta</v>
      </c>
      <c r="L4" t="s">
        <v>44</v>
      </c>
      <c r="Q4" s="2"/>
    </row>
    <row r="5" spans="1:18" x14ac:dyDescent="0.25">
      <c r="A5" t="str">
        <f t="shared" si="0"/>
        <v>0134-04-1701_4CA_1AtMLO2CT1AtCAM2</v>
      </c>
      <c r="B5" s="1" t="s">
        <v>47</v>
      </c>
      <c r="C5" s="1" t="s">
        <v>8</v>
      </c>
      <c r="D5" s="1" t="s">
        <v>35</v>
      </c>
      <c r="E5" t="s">
        <v>20</v>
      </c>
      <c r="F5">
        <v>4</v>
      </c>
      <c r="G5">
        <v>1</v>
      </c>
      <c r="H5" s="2" t="str">
        <f t="shared" si="1"/>
        <v>sequences\AtMLO2.1CT.fasta</v>
      </c>
      <c r="I5" t="s">
        <v>0</v>
      </c>
      <c r="J5">
        <v>1</v>
      </c>
      <c r="K5" s="2" t="str">
        <f t="shared" si="2"/>
        <v>sequences\AtCAM2.1.fasta</v>
      </c>
      <c r="L5" t="s">
        <v>44</v>
      </c>
      <c r="Q5" s="2"/>
    </row>
    <row r="6" spans="1:18" x14ac:dyDescent="0.25">
      <c r="A6" t="str">
        <f t="shared" si="0"/>
        <v>0134-05-1702_4CA_1AtMLO2CT1AtCAM2</v>
      </c>
      <c r="B6" s="1" t="s">
        <v>47</v>
      </c>
      <c r="C6" s="1" t="s">
        <v>9</v>
      </c>
      <c r="D6" s="1" t="s">
        <v>36</v>
      </c>
      <c r="E6" t="s">
        <v>20</v>
      </c>
      <c r="F6">
        <v>4</v>
      </c>
      <c r="G6">
        <v>1</v>
      </c>
      <c r="H6" s="2" t="str">
        <f t="shared" si="1"/>
        <v>sequences\AtMLO2.1CT.fasta</v>
      </c>
      <c r="I6" t="s">
        <v>0</v>
      </c>
      <c r="J6">
        <v>1</v>
      </c>
      <c r="K6" s="2" t="str">
        <f t="shared" si="2"/>
        <v>sequences\AtCAM2.1.fasta</v>
      </c>
      <c r="L6" t="s">
        <v>44</v>
      </c>
      <c r="Q6" s="2"/>
    </row>
    <row r="7" spans="1:18" x14ac:dyDescent="0.25">
      <c r="A7" t="str">
        <f t="shared" si="0"/>
        <v>0134-06-1703_4CA_1AtMLO2CT1AtCAM2</v>
      </c>
      <c r="B7" s="1" t="s">
        <v>47</v>
      </c>
      <c r="C7" s="1" t="s">
        <v>10</v>
      </c>
      <c r="D7" s="1" t="s">
        <v>37</v>
      </c>
      <c r="E7" t="s">
        <v>20</v>
      </c>
      <c r="F7">
        <v>4</v>
      </c>
      <c r="G7">
        <v>1</v>
      </c>
      <c r="H7" s="2" t="str">
        <f t="shared" si="1"/>
        <v>sequences\AtMLO2.1CT.fasta</v>
      </c>
      <c r="I7" t="s">
        <v>0</v>
      </c>
      <c r="J7">
        <v>1</v>
      </c>
      <c r="K7" s="2" t="str">
        <f t="shared" si="2"/>
        <v>sequences\AtCAM2.1.fasta</v>
      </c>
      <c r="L7" t="s">
        <v>44</v>
      </c>
      <c r="Q7" s="2"/>
    </row>
    <row r="8" spans="1:18" x14ac:dyDescent="0.25">
      <c r="A8" t="str">
        <f t="shared" si="0"/>
        <v>0134-07-1704_4CA_1AtMLO2CT1AtCAM2</v>
      </c>
      <c r="B8" s="1" t="s">
        <v>47</v>
      </c>
      <c r="C8" s="1" t="s">
        <v>11</v>
      </c>
      <c r="D8" s="1" t="s">
        <v>38</v>
      </c>
      <c r="E8" t="s">
        <v>20</v>
      </c>
      <c r="F8">
        <v>4</v>
      </c>
      <c r="G8">
        <v>1</v>
      </c>
      <c r="H8" s="2" t="str">
        <f t="shared" si="1"/>
        <v>sequences\AtMLO2.1CT.fasta</v>
      </c>
      <c r="I8" t="s">
        <v>0</v>
      </c>
      <c r="J8">
        <v>1</v>
      </c>
      <c r="K8" s="2" t="str">
        <f t="shared" si="2"/>
        <v>sequences\AtCAM2.1.fasta</v>
      </c>
      <c r="L8" t="s">
        <v>44</v>
      </c>
    </row>
    <row r="9" spans="1:18" x14ac:dyDescent="0.25">
      <c r="A9" t="str">
        <f t="shared" si="0"/>
        <v>0134-08-1705_4CA_1AtMLO2CT1AtCAM2</v>
      </c>
      <c r="B9" s="1" t="s">
        <v>47</v>
      </c>
      <c r="C9" s="1" t="s">
        <v>12</v>
      </c>
      <c r="D9" s="1" t="s">
        <v>39</v>
      </c>
      <c r="E9" t="s">
        <v>20</v>
      </c>
      <c r="F9">
        <v>4</v>
      </c>
      <c r="G9">
        <v>1</v>
      </c>
      <c r="H9" s="2" t="str">
        <f t="shared" si="1"/>
        <v>sequences\AtMLO2.1CT.fasta</v>
      </c>
      <c r="I9" t="s">
        <v>0</v>
      </c>
      <c r="J9">
        <v>1</v>
      </c>
      <c r="K9" s="2" t="str">
        <f t="shared" si="2"/>
        <v>sequences\AtCAM2.1.fasta</v>
      </c>
      <c r="L9" t="s">
        <v>44</v>
      </c>
    </row>
    <row r="10" spans="1:18" x14ac:dyDescent="0.25">
      <c r="A10" t="str">
        <f t="shared" si="0"/>
        <v>0134-09-1706_4CA_1AtMLO2CT1AtCAM2</v>
      </c>
      <c r="B10" s="1" t="s">
        <v>47</v>
      </c>
      <c r="C10" s="1" t="s">
        <v>13</v>
      </c>
      <c r="D10" s="1" t="s">
        <v>40</v>
      </c>
      <c r="E10" t="s">
        <v>20</v>
      </c>
      <c r="F10">
        <v>4</v>
      </c>
      <c r="G10">
        <v>1</v>
      </c>
      <c r="H10" s="2" t="str">
        <f t="shared" si="1"/>
        <v>sequences\AtMLO2.1CT.fasta</v>
      </c>
      <c r="I10" t="s">
        <v>0</v>
      </c>
      <c r="J10">
        <v>1</v>
      </c>
      <c r="K10" s="2" t="str">
        <f t="shared" si="2"/>
        <v>sequences\AtCAM2.1.fasta</v>
      </c>
      <c r="L10" t="s">
        <v>44</v>
      </c>
    </row>
    <row r="11" spans="1:18" x14ac:dyDescent="0.25">
      <c r="A11" t="str">
        <f t="shared" si="0"/>
        <v>0134-10-1707_4CA_1AtMLO2CT1AtCAM2</v>
      </c>
      <c r="B11" s="1" t="s">
        <v>47</v>
      </c>
      <c r="C11" s="1" t="s">
        <v>14</v>
      </c>
      <c r="D11" s="1" t="s">
        <v>41</v>
      </c>
      <c r="E11" t="s">
        <v>20</v>
      </c>
      <c r="F11">
        <v>4</v>
      </c>
      <c r="G11">
        <v>1</v>
      </c>
      <c r="H11" s="2" t="str">
        <f t="shared" si="1"/>
        <v>sequences\AtMLO2.1CT.fasta</v>
      </c>
      <c r="I11" t="s">
        <v>0</v>
      </c>
      <c r="J11">
        <v>1</v>
      </c>
      <c r="K11" s="2" t="str">
        <f t="shared" si="2"/>
        <v>sequences\AtCAM2.1.fasta</v>
      </c>
      <c r="L11" t="s">
        <v>44</v>
      </c>
    </row>
    <row r="12" spans="1:18" x14ac:dyDescent="0.25">
      <c r="A12" t="str">
        <f t="shared" si="0"/>
        <v>0134-11-1708_4CA_1AtMLO2CT1AtCAM2</v>
      </c>
      <c r="B12" s="1" t="s">
        <v>47</v>
      </c>
      <c r="C12" s="1" t="s">
        <v>15</v>
      </c>
      <c r="D12" s="1" t="s">
        <v>42</v>
      </c>
      <c r="E12" t="s">
        <v>20</v>
      </c>
      <c r="F12">
        <v>4</v>
      </c>
      <c r="G12">
        <v>1</v>
      </c>
      <c r="H12" s="2" t="str">
        <f t="shared" si="1"/>
        <v>sequences\AtMLO2.1CT.fasta</v>
      </c>
      <c r="I12" t="s">
        <v>0</v>
      </c>
      <c r="J12">
        <v>1</v>
      </c>
      <c r="K12" s="2" t="str">
        <f t="shared" si="2"/>
        <v>sequences\AtCAM2.1.fasta</v>
      </c>
      <c r="L12" t="s">
        <v>44</v>
      </c>
    </row>
    <row r="13" spans="1:18" x14ac:dyDescent="0.25">
      <c r="A13" t="str">
        <f t="shared" si="0"/>
        <v>0134-12-1709_4CA_1AtMLO2CT1AtCAM2</v>
      </c>
      <c r="B13" s="1" t="s">
        <v>47</v>
      </c>
      <c r="C13" s="1" t="s">
        <v>16</v>
      </c>
      <c r="D13" s="1" t="s">
        <v>43</v>
      </c>
      <c r="E13" t="s">
        <v>20</v>
      </c>
      <c r="F13">
        <v>4</v>
      </c>
      <c r="G13">
        <v>1</v>
      </c>
      <c r="H13" s="2" t="str">
        <f t="shared" si="1"/>
        <v>sequences\AtMLO2.1CT.fasta</v>
      </c>
      <c r="I13" t="s">
        <v>0</v>
      </c>
      <c r="J13">
        <v>1</v>
      </c>
      <c r="K13" s="2" t="str">
        <f t="shared" si="2"/>
        <v>sequences\AtCAM2.1.fasta</v>
      </c>
      <c r="L13" t="s">
        <v>44</v>
      </c>
    </row>
    <row r="14" spans="1:18" x14ac:dyDescent="0.25">
      <c r="B14" s="1"/>
      <c r="C14" s="1"/>
      <c r="D14" s="1"/>
      <c r="H14" s="2"/>
    </row>
    <row r="15" spans="1:18" x14ac:dyDescent="0.25">
      <c r="B15" s="1"/>
      <c r="C15" s="1"/>
      <c r="D15" s="1"/>
      <c r="H15" s="2"/>
    </row>
    <row r="16" spans="1:18" x14ac:dyDescent="0.25">
      <c r="B16" s="1"/>
      <c r="C16" s="1"/>
      <c r="D16" s="1"/>
      <c r="H16" s="2"/>
    </row>
    <row r="17" spans="2:8" x14ac:dyDescent="0.25">
      <c r="B17" s="1"/>
      <c r="C17" s="1"/>
      <c r="D17" s="1"/>
      <c r="H17" s="2"/>
    </row>
    <row r="18" spans="2:8" x14ac:dyDescent="0.25">
      <c r="B18" s="1"/>
      <c r="C18" s="1"/>
      <c r="D18" s="1"/>
      <c r="H18" s="2"/>
    </row>
    <row r="19" spans="2:8" x14ac:dyDescent="0.25">
      <c r="B19" s="1"/>
      <c r="C19" s="1"/>
      <c r="D19" s="1"/>
      <c r="H19" s="2"/>
    </row>
    <row r="20" spans="2:8" x14ac:dyDescent="0.25">
      <c r="B20" s="1"/>
      <c r="C20" s="1"/>
      <c r="D20" s="1"/>
      <c r="H20" s="2"/>
    </row>
    <row r="21" spans="2:8" x14ac:dyDescent="0.25">
      <c r="B21" s="1"/>
      <c r="C21" s="1"/>
      <c r="D21" s="1"/>
      <c r="H21" s="2"/>
    </row>
  </sheetData>
  <phoneticPr fontId="1" type="noConversion"/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2D66-CD80-45BE-B03B-D0EBBE136DC5}">
  <sheetPr>
    <tabColor theme="5"/>
  </sheetPr>
  <dimension ref="A1:R21"/>
  <sheetViews>
    <sheetView zoomScaleNormal="100" workbookViewId="0">
      <pane ySplit="1" topLeftCell="A2" activePane="bottomLeft" state="frozen"/>
      <selection activeCell="E33" sqref="E33"/>
      <selection pane="bottomLeft" activeCell="K13" sqref="K13"/>
    </sheetView>
  </sheetViews>
  <sheetFormatPr defaultColWidth="11.42578125" defaultRowHeight="15" x14ac:dyDescent="0.25"/>
  <cols>
    <col min="1" max="1" width="48.5703125" bestFit="1" customWidth="1"/>
    <col min="2" max="2" width="6.140625" bestFit="1" customWidth="1"/>
    <col min="3" max="3" width="3.140625" bestFit="1" customWidth="1"/>
    <col min="4" max="4" width="5.140625" bestFit="1" customWidth="1"/>
    <col min="5" max="5" width="4.85546875" bestFit="1" customWidth="1"/>
    <col min="6" max="6" width="10.7109375" bestFit="1" customWidth="1"/>
    <col min="7" max="7" width="13.28515625" bestFit="1" customWidth="1"/>
    <col min="8" max="8" width="44" bestFit="1" customWidth="1"/>
    <col min="9" max="9" width="24.28515625" bestFit="1" customWidth="1"/>
    <col min="10" max="10" width="13.28515625" customWidth="1"/>
    <col min="11" max="11" width="27.85546875" bestFit="1" customWidth="1"/>
    <col min="12" max="13" width="13.28515625" bestFit="1" customWidth="1"/>
    <col min="14" max="14" width="45.28515625" bestFit="1" customWidth="1"/>
    <col min="15" max="15" width="13.28515625" bestFit="1" customWidth="1"/>
    <col min="16" max="16" width="13.42578125" bestFit="1" customWidth="1"/>
    <col min="17" max="17" width="24.7109375" bestFit="1" customWidth="1"/>
    <col min="18" max="18" width="13.42578125" bestFit="1" customWidth="1"/>
  </cols>
  <sheetData>
    <row r="1" spans="1:18" x14ac:dyDescent="0.25">
      <c r="A1" t="s">
        <v>1</v>
      </c>
      <c r="B1" t="s">
        <v>3</v>
      </c>
      <c r="D1" t="s">
        <v>31</v>
      </c>
      <c r="E1" t="s">
        <v>4</v>
      </c>
      <c r="F1" t="s">
        <v>19</v>
      </c>
      <c r="G1" t="s">
        <v>27</v>
      </c>
      <c r="H1" t="s">
        <v>17</v>
      </c>
      <c r="I1" t="s">
        <v>18</v>
      </c>
      <c r="J1" t="s">
        <v>28</v>
      </c>
      <c r="K1" t="s">
        <v>21</v>
      </c>
      <c r="L1" t="s">
        <v>22</v>
      </c>
      <c r="M1" t="s">
        <v>29</v>
      </c>
      <c r="N1" t="s">
        <v>23</v>
      </c>
      <c r="O1" t="s">
        <v>24</v>
      </c>
      <c r="P1" t="s">
        <v>30</v>
      </c>
      <c r="Q1" t="s">
        <v>25</v>
      </c>
      <c r="R1" t="s">
        <v>26</v>
      </c>
    </row>
    <row r="2" spans="1:18" x14ac:dyDescent="0.25">
      <c r="A2" t="str">
        <f>_xlfn.CONCAT(B2,"-",C2,"-",D2,"_",F2,E2,"_",G2,SUBSTITUTE(I2,".1",""),J2,SUBSTITUTE(L2,".1",""),M2,SUBSTITUTE(O2,".1",""),P2,SUBSTITUTE(R2,".1",""))</f>
        <v>0135-01-1710_4CA_1AtMLO2CT_L456R_W459R1AtCAM2</v>
      </c>
      <c r="B2" s="1" t="s">
        <v>48</v>
      </c>
      <c r="C2" s="1" t="s">
        <v>5</v>
      </c>
      <c r="D2" s="1" t="s">
        <v>32</v>
      </c>
      <c r="E2" t="s">
        <v>20</v>
      </c>
      <c r="F2">
        <v>4</v>
      </c>
      <c r="G2">
        <v>1</v>
      </c>
      <c r="H2" s="2" t="str">
        <f>HYPERLINK("file://\\wsl.localhost\Ubuntu\home\user\projects\af3_workflow\sequences/" &amp; I2 &amp; ".fasta", "sequences\" &amp; I2 &amp; ".fasta")</f>
        <v>sequences\AtMLO2.1CT_L456R_W459R.fasta</v>
      </c>
      <c r="I2" t="s">
        <v>2</v>
      </c>
      <c r="J2">
        <v>1</v>
      </c>
      <c r="K2" s="2" t="str">
        <f>HYPERLINK("file://\\wsl.localhost\Ubuntu\home\user\projects\af3_workflow\sequences/" &amp; L2 &amp; ".fasta", "sequences\" &amp; L2 &amp; ".fasta")</f>
        <v>sequences\AtCAM2.1.fasta</v>
      </c>
      <c r="L2" t="s">
        <v>44</v>
      </c>
      <c r="N2" s="2"/>
      <c r="Q2" s="2"/>
    </row>
    <row r="3" spans="1:18" x14ac:dyDescent="0.25">
      <c r="A3" t="str">
        <f t="shared" ref="A3:A13" si="0">_xlfn.CONCAT(B3,"-",C3,"-",D3,"_",F3,E3,"_",G3,SUBSTITUTE(I3,".1",""),J3,SUBSTITUTE(L3,".1",""),M3,SUBSTITUTE(O3,".1",""),P3,SUBSTITUTE(R3,".1",""))</f>
        <v>0135-02-1711_4CA_1AtMLO2CT_L456R_W459R1AtCAM2</v>
      </c>
      <c r="B3" s="1" t="s">
        <v>48</v>
      </c>
      <c r="C3" s="1" t="s">
        <v>6</v>
      </c>
      <c r="D3" s="1" t="s">
        <v>33</v>
      </c>
      <c r="E3" t="s">
        <v>20</v>
      </c>
      <c r="F3">
        <v>4</v>
      </c>
      <c r="G3">
        <v>1</v>
      </c>
      <c r="H3" s="2" t="str">
        <f t="shared" ref="H3:H13" si="1">HYPERLINK("file://\\wsl.localhost\Ubuntu\home\user\projects\af3_workflow\sequences/" &amp; I3 &amp; ".fasta", "sequences\" &amp; I3 &amp; ".fasta")</f>
        <v>sequences\AtMLO2.1CT_L456R_W459R.fasta</v>
      </c>
      <c r="I3" t="s">
        <v>2</v>
      </c>
      <c r="J3">
        <v>1</v>
      </c>
      <c r="K3" s="2" t="str">
        <f t="shared" ref="K3:K14" si="2">HYPERLINK("file://\\wsl.localhost\Ubuntu\home\user\projects\af3_workflow\sequences/" &amp; L3 &amp; ".fasta", "sequences\" &amp; L3 &amp; ".fasta")</f>
        <v>sequences\AtCAM2.1.fasta</v>
      </c>
      <c r="L3" t="s">
        <v>44</v>
      </c>
      <c r="Q3" s="2"/>
    </row>
    <row r="4" spans="1:18" x14ac:dyDescent="0.25">
      <c r="A4" t="str">
        <f t="shared" si="0"/>
        <v>0135-03-1712_4CA_1AtMLO2CT_L456R_W459R1AtCAM2</v>
      </c>
      <c r="B4" s="1" t="s">
        <v>48</v>
      </c>
      <c r="C4" s="1" t="s">
        <v>7</v>
      </c>
      <c r="D4" s="1" t="s">
        <v>34</v>
      </c>
      <c r="E4" t="s">
        <v>20</v>
      </c>
      <c r="F4">
        <v>4</v>
      </c>
      <c r="G4">
        <v>1</v>
      </c>
      <c r="H4" s="2" t="str">
        <f t="shared" si="1"/>
        <v>sequences\AtMLO2.1CT_L456R_W459R.fasta</v>
      </c>
      <c r="I4" t="s">
        <v>2</v>
      </c>
      <c r="J4">
        <v>1</v>
      </c>
      <c r="K4" s="2" t="str">
        <f t="shared" si="2"/>
        <v>sequences\AtCAM2.1.fasta</v>
      </c>
      <c r="L4" t="s">
        <v>44</v>
      </c>
      <c r="Q4" s="2"/>
    </row>
    <row r="5" spans="1:18" x14ac:dyDescent="0.25">
      <c r="A5" t="str">
        <f t="shared" si="0"/>
        <v>0135-04-1701_4CA_1AtMLO2CT_L456R_W459R1AtCAM2</v>
      </c>
      <c r="B5" s="1" t="s">
        <v>48</v>
      </c>
      <c r="C5" s="1" t="s">
        <v>8</v>
      </c>
      <c r="D5" s="1" t="s">
        <v>35</v>
      </c>
      <c r="E5" t="s">
        <v>20</v>
      </c>
      <c r="F5">
        <v>4</v>
      </c>
      <c r="G5">
        <v>1</v>
      </c>
      <c r="H5" s="2" t="str">
        <f t="shared" si="1"/>
        <v>sequences\AtMLO2.1CT_L456R_W459R.fasta</v>
      </c>
      <c r="I5" t="s">
        <v>2</v>
      </c>
      <c r="J5">
        <v>1</v>
      </c>
      <c r="K5" s="2" t="str">
        <f t="shared" si="2"/>
        <v>sequences\AtCAM2.1.fasta</v>
      </c>
      <c r="L5" t="s">
        <v>44</v>
      </c>
      <c r="Q5" s="2"/>
    </row>
    <row r="6" spans="1:18" x14ac:dyDescent="0.25">
      <c r="A6" t="str">
        <f t="shared" si="0"/>
        <v>0135-05-1702_4CA_1AtMLO2CT_L456R_W459R1AtCAM2</v>
      </c>
      <c r="B6" s="1" t="s">
        <v>48</v>
      </c>
      <c r="C6" s="1" t="s">
        <v>9</v>
      </c>
      <c r="D6" s="1" t="s">
        <v>36</v>
      </c>
      <c r="E6" t="s">
        <v>20</v>
      </c>
      <c r="F6">
        <v>4</v>
      </c>
      <c r="G6">
        <v>1</v>
      </c>
      <c r="H6" s="2" t="str">
        <f t="shared" si="1"/>
        <v>sequences\AtMLO2.1CT_L456R_W459R.fasta</v>
      </c>
      <c r="I6" t="s">
        <v>2</v>
      </c>
      <c r="J6">
        <v>1</v>
      </c>
      <c r="K6" s="2" t="str">
        <f t="shared" si="2"/>
        <v>sequences\AtCAM2.1.fasta</v>
      </c>
      <c r="L6" t="s">
        <v>44</v>
      </c>
      <c r="Q6" s="2"/>
    </row>
    <row r="7" spans="1:18" x14ac:dyDescent="0.25">
      <c r="A7" t="str">
        <f t="shared" si="0"/>
        <v>0135-06-1703_4CA_1AtMLO2CT_L456R_W459R1AtCAM2</v>
      </c>
      <c r="B7" s="1" t="s">
        <v>48</v>
      </c>
      <c r="C7" s="1" t="s">
        <v>10</v>
      </c>
      <c r="D7" s="1" t="s">
        <v>37</v>
      </c>
      <c r="E7" t="s">
        <v>20</v>
      </c>
      <c r="F7">
        <v>4</v>
      </c>
      <c r="G7">
        <v>1</v>
      </c>
      <c r="H7" s="2" t="str">
        <f t="shared" si="1"/>
        <v>sequences\AtMLO2.1CT_L456R_W459R.fasta</v>
      </c>
      <c r="I7" t="s">
        <v>2</v>
      </c>
      <c r="J7">
        <v>1</v>
      </c>
      <c r="K7" s="2" t="str">
        <f t="shared" si="2"/>
        <v>sequences\AtCAM2.1.fasta</v>
      </c>
      <c r="L7" t="s">
        <v>44</v>
      </c>
      <c r="Q7" s="2"/>
    </row>
    <row r="8" spans="1:18" x14ac:dyDescent="0.25">
      <c r="A8" t="str">
        <f t="shared" si="0"/>
        <v>0135-07-1704_4CA_1AtMLO2CT_L456R_W459R1AtCAM2</v>
      </c>
      <c r="B8" s="1" t="s">
        <v>48</v>
      </c>
      <c r="C8" s="1" t="s">
        <v>11</v>
      </c>
      <c r="D8" s="1" t="s">
        <v>38</v>
      </c>
      <c r="E8" t="s">
        <v>20</v>
      </c>
      <c r="F8">
        <v>4</v>
      </c>
      <c r="G8">
        <v>1</v>
      </c>
      <c r="H8" s="2" t="str">
        <f t="shared" si="1"/>
        <v>sequences\AtMLO2.1CT_L456R_W459R.fasta</v>
      </c>
      <c r="I8" t="s">
        <v>2</v>
      </c>
      <c r="J8">
        <v>1</v>
      </c>
      <c r="K8" s="2" t="str">
        <f t="shared" si="2"/>
        <v>sequences\AtCAM2.1.fasta</v>
      </c>
      <c r="L8" t="s">
        <v>44</v>
      </c>
    </row>
    <row r="9" spans="1:18" x14ac:dyDescent="0.25">
      <c r="A9" t="str">
        <f t="shared" si="0"/>
        <v>0135-08-1705_4CA_1AtMLO2CT_L456R_W459R1AtCAM2</v>
      </c>
      <c r="B9" s="1" t="s">
        <v>48</v>
      </c>
      <c r="C9" s="1" t="s">
        <v>12</v>
      </c>
      <c r="D9" s="1" t="s">
        <v>39</v>
      </c>
      <c r="E9" t="s">
        <v>20</v>
      </c>
      <c r="F9">
        <v>4</v>
      </c>
      <c r="G9">
        <v>1</v>
      </c>
      <c r="H9" s="2" t="str">
        <f t="shared" si="1"/>
        <v>sequences\AtMLO2.1CT_L456R_W459R.fasta</v>
      </c>
      <c r="I9" t="s">
        <v>2</v>
      </c>
      <c r="J9">
        <v>1</v>
      </c>
      <c r="K9" s="2" t="str">
        <f t="shared" si="2"/>
        <v>sequences\AtCAM2.1.fasta</v>
      </c>
      <c r="L9" t="s">
        <v>44</v>
      </c>
    </row>
    <row r="10" spans="1:18" x14ac:dyDescent="0.25">
      <c r="A10" t="str">
        <f t="shared" si="0"/>
        <v>0135-09-1706_4CA_1AtMLO2CT_L456R_W459R1AtCAM2</v>
      </c>
      <c r="B10" s="1" t="s">
        <v>48</v>
      </c>
      <c r="C10" s="1" t="s">
        <v>13</v>
      </c>
      <c r="D10" s="1" t="s">
        <v>40</v>
      </c>
      <c r="E10" t="s">
        <v>20</v>
      </c>
      <c r="F10">
        <v>4</v>
      </c>
      <c r="G10">
        <v>1</v>
      </c>
      <c r="H10" s="2" t="str">
        <f t="shared" si="1"/>
        <v>sequences\AtMLO2.1CT_L456R_W459R.fasta</v>
      </c>
      <c r="I10" t="s">
        <v>2</v>
      </c>
      <c r="J10">
        <v>1</v>
      </c>
      <c r="K10" s="2" t="str">
        <f t="shared" si="2"/>
        <v>sequences\AtCAM2.1.fasta</v>
      </c>
      <c r="L10" t="s">
        <v>44</v>
      </c>
    </row>
    <row r="11" spans="1:18" x14ac:dyDescent="0.25">
      <c r="A11" t="str">
        <f t="shared" si="0"/>
        <v>0135-10-1707_4CA_1AtMLO2CT_L456R_W459R1AtCAM2</v>
      </c>
      <c r="B11" s="1" t="s">
        <v>48</v>
      </c>
      <c r="C11" s="1" t="s">
        <v>14</v>
      </c>
      <c r="D11" s="1" t="s">
        <v>41</v>
      </c>
      <c r="E11" t="s">
        <v>20</v>
      </c>
      <c r="F11">
        <v>4</v>
      </c>
      <c r="G11">
        <v>1</v>
      </c>
      <c r="H11" s="2" t="str">
        <f t="shared" si="1"/>
        <v>sequences\AtMLO2.1CT_L456R_W459R.fasta</v>
      </c>
      <c r="I11" t="s">
        <v>2</v>
      </c>
      <c r="J11">
        <v>1</v>
      </c>
      <c r="K11" s="2" t="str">
        <f t="shared" si="2"/>
        <v>sequences\AtCAM2.1.fasta</v>
      </c>
      <c r="L11" t="s">
        <v>44</v>
      </c>
    </row>
    <row r="12" spans="1:18" x14ac:dyDescent="0.25">
      <c r="A12" t="str">
        <f t="shared" si="0"/>
        <v>0135-11-1708_4CA_1AtMLO2CT_L456R_W459R1AtCAM2</v>
      </c>
      <c r="B12" s="1" t="s">
        <v>48</v>
      </c>
      <c r="C12" s="1" t="s">
        <v>15</v>
      </c>
      <c r="D12" s="1" t="s">
        <v>42</v>
      </c>
      <c r="E12" t="s">
        <v>20</v>
      </c>
      <c r="F12">
        <v>4</v>
      </c>
      <c r="G12">
        <v>1</v>
      </c>
      <c r="H12" s="2" t="str">
        <f t="shared" si="1"/>
        <v>sequences\AtMLO2.1CT_L456R_W459R.fasta</v>
      </c>
      <c r="I12" t="s">
        <v>2</v>
      </c>
      <c r="J12">
        <v>1</v>
      </c>
      <c r="K12" s="2" t="str">
        <f t="shared" si="2"/>
        <v>sequences\AtCAM2.1.fasta</v>
      </c>
      <c r="L12" t="s">
        <v>44</v>
      </c>
    </row>
    <row r="13" spans="1:18" x14ac:dyDescent="0.25">
      <c r="A13" t="str">
        <f t="shared" si="0"/>
        <v>0135-12-1709_4CA_1AtMLO2CT_L456R_W459R1AtCAM2</v>
      </c>
      <c r="B13" s="1" t="s">
        <v>48</v>
      </c>
      <c r="C13" s="1" t="s">
        <v>16</v>
      </c>
      <c r="D13" s="1" t="s">
        <v>43</v>
      </c>
      <c r="E13" t="s">
        <v>20</v>
      </c>
      <c r="F13">
        <v>4</v>
      </c>
      <c r="G13">
        <v>1</v>
      </c>
      <c r="H13" s="2" t="str">
        <f t="shared" si="1"/>
        <v>sequences\AtMLO2.1CT_L456R_W459R.fasta</v>
      </c>
      <c r="I13" t="s">
        <v>2</v>
      </c>
      <c r="J13">
        <v>1</v>
      </c>
      <c r="K13" s="2" t="str">
        <f t="shared" si="2"/>
        <v>sequences\AtCAM2.1.fasta</v>
      </c>
      <c r="L13" t="s">
        <v>44</v>
      </c>
    </row>
    <row r="14" spans="1:18" x14ac:dyDescent="0.25">
      <c r="B14" s="1"/>
      <c r="C14" s="1"/>
      <c r="D14" s="1"/>
      <c r="H14" s="2"/>
      <c r="K14" s="2"/>
    </row>
    <row r="15" spans="1:18" x14ac:dyDescent="0.25">
      <c r="B15" s="1"/>
      <c r="C15" s="1"/>
      <c r="D15" s="1"/>
      <c r="H15" s="2"/>
    </row>
    <row r="16" spans="1:18" x14ac:dyDescent="0.25">
      <c r="B16" s="1"/>
      <c r="C16" s="1"/>
      <c r="D16" s="1"/>
      <c r="H16" s="2"/>
    </row>
    <row r="17" spans="2:8" x14ac:dyDescent="0.25">
      <c r="B17" s="1"/>
      <c r="C17" s="1"/>
      <c r="D17" s="1"/>
      <c r="H17" s="2"/>
    </row>
    <row r="18" spans="2:8" x14ac:dyDescent="0.25">
      <c r="B18" s="1"/>
      <c r="C18" s="1"/>
      <c r="D18" s="1"/>
      <c r="H18" s="2"/>
    </row>
    <row r="19" spans="2:8" x14ac:dyDescent="0.25">
      <c r="B19" s="1"/>
      <c r="C19" s="1"/>
      <c r="D19" s="1"/>
      <c r="H19" s="2"/>
    </row>
    <row r="20" spans="2:8" x14ac:dyDescent="0.25">
      <c r="B20" s="1"/>
      <c r="C20" s="1"/>
      <c r="D20" s="1"/>
      <c r="H20" s="2"/>
    </row>
    <row r="21" spans="2:8" x14ac:dyDescent="0.25">
      <c r="B21" s="1"/>
      <c r="C21" s="1"/>
      <c r="D21" s="1"/>
      <c r="H21" s="2"/>
    </row>
  </sheetData>
  <phoneticPr fontId="1" type="noConversion"/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0001_20260101_0Ca1AtM21CAM2</vt:lpstr>
      <vt:lpstr>0001_20260101_0Ca1AtM2LWRR1CAM2</vt:lpstr>
      <vt:lpstr>0001_20260101_4Ca1AtM21CAM2</vt:lpstr>
      <vt:lpstr>0001_20260101_4Ca1AtM2LWRR1CAM2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Hübbers</dc:creator>
  <cp:lastModifiedBy>Jan Hübbers</cp:lastModifiedBy>
  <dcterms:created xsi:type="dcterms:W3CDTF">2025-03-28T11:26:57Z</dcterms:created>
  <dcterms:modified xsi:type="dcterms:W3CDTF">2026-04-02T12:59:28Z</dcterms:modified>
</cp:coreProperties>
</file>